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6"/>
  <workbookPr/>
  <mc:AlternateContent xmlns:mc="http://schemas.openxmlformats.org/markup-compatibility/2006">
    <mc:Choice Requires="x15">
      <x15ac:absPath xmlns:x15ac="http://schemas.microsoft.com/office/spreadsheetml/2010/11/ac" url="C:\Users\Amstu\Documents\SPRINT2CP\Annexes\"/>
    </mc:Choice>
  </mc:AlternateContent>
  <xr:revisionPtr revIDLastSave="0" documentId="13_ncr:1_{FAA50324-5B1C-432C-A0DB-301A31CE4FEE}" xr6:coauthVersionLast="47" xr6:coauthVersionMax="47" xr10:uidLastSave="{00000000-0000-0000-0000-000000000000}"/>
  <bookViews>
    <workbookView xWindow="-120" yWindow="-120" windowWidth="38640" windowHeight="21120" xr2:uid="{995C2A68-75D9-4C99-B419-AE123531F9B1}"/>
  </bookViews>
  <sheets>
    <sheet name="Sheet1" sheetId="1" r:id="rId1"/>
  </sheets>
  <definedNames>
    <definedName name="_xlnm.Print_Area" localSheetId="0">Sheet1!$A$6:$AT$48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D2" i="1" s="1"/>
  <c r="F10" i="1"/>
  <c r="D3" i="1" s="1"/>
  <c r="G10" i="1"/>
  <c r="E2" i="1" s="1"/>
  <c r="H10" i="1"/>
  <c r="E3" i="1" s="1"/>
  <c r="I10" i="1"/>
  <c r="F2" i="1" s="1"/>
  <c r="J10" i="1"/>
  <c r="F3" i="1" s="1"/>
  <c r="K10" i="1"/>
  <c r="G2" i="1" s="1"/>
  <c r="L10" i="1"/>
  <c r="G3" i="1" s="1"/>
  <c r="M10" i="1"/>
  <c r="H2" i="1" s="1"/>
  <c r="N10" i="1"/>
  <c r="H3" i="1" s="1"/>
  <c r="O10" i="1"/>
  <c r="I2" i="1" s="1"/>
  <c r="P10" i="1"/>
  <c r="I3" i="1" s="1"/>
  <c r="Q10" i="1"/>
  <c r="J2" i="1" s="1"/>
  <c r="R10" i="1"/>
  <c r="J3" i="1" s="1"/>
  <c r="S10" i="1"/>
  <c r="K2" i="1" s="1"/>
  <c r="T10" i="1"/>
  <c r="K3" i="1" s="1"/>
  <c r="U10" i="1"/>
  <c r="L2" i="1" s="1"/>
  <c r="V10" i="1"/>
  <c r="L3" i="1" s="1"/>
  <c r="W10" i="1"/>
  <c r="M2" i="1" s="1"/>
  <c r="X10" i="1"/>
  <c r="M3" i="1" s="1"/>
  <c r="Y10" i="1"/>
  <c r="N2" i="1" s="1"/>
  <c r="Z10" i="1"/>
  <c r="N3" i="1" s="1"/>
  <c r="AA10" i="1"/>
  <c r="O2" i="1" s="1"/>
  <c r="AB10" i="1"/>
  <c r="O3" i="1" s="1"/>
  <c r="AC10" i="1"/>
  <c r="P2" i="1" s="1"/>
  <c r="AD10" i="1"/>
  <c r="P3" i="1" s="1"/>
  <c r="AE10" i="1"/>
  <c r="Q2" i="1" s="1"/>
  <c r="AF10" i="1"/>
  <c r="Q3" i="1" s="1"/>
  <c r="AG10" i="1"/>
  <c r="R2" i="1" s="1"/>
  <c r="AH10" i="1"/>
  <c r="R3" i="1" s="1"/>
  <c r="AI10" i="1"/>
  <c r="S2" i="1" s="1"/>
  <c r="AJ10" i="1"/>
  <c r="S3" i="1" s="1"/>
  <c r="AK10" i="1"/>
  <c r="T2" i="1" s="1"/>
  <c r="AL10" i="1"/>
  <c r="T3" i="1" s="1"/>
  <c r="AM10" i="1"/>
  <c r="U2" i="1" s="1"/>
  <c r="AN10" i="1"/>
  <c r="U3" i="1" s="1"/>
  <c r="AO10" i="1"/>
  <c r="V2" i="1" s="1"/>
  <c r="AP10" i="1"/>
  <c r="V3" i="1" s="1"/>
  <c r="AQ10" i="1"/>
  <c r="W2" i="1" s="1"/>
  <c r="AR10" i="1"/>
  <c r="W3" i="1" s="1"/>
  <c r="AS10" i="1"/>
  <c r="X2" i="1" s="1"/>
  <c r="AT10" i="1"/>
  <c r="X3" i="1" s="1"/>
  <c r="D10" i="1"/>
  <c r="E9" i="1"/>
  <c r="G9" i="1" s="1"/>
  <c r="I9" i="1" s="1"/>
  <c r="K9" i="1" s="1"/>
  <c r="M9" i="1" s="1"/>
  <c r="O9" i="1" s="1"/>
  <c r="Q9" i="1" s="1"/>
  <c r="S9" i="1" s="1"/>
  <c r="U9" i="1" s="1"/>
  <c r="W9" i="1" s="1"/>
  <c r="Y9" i="1" s="1"/>
  <c r="AA9" i="1" s="1"/>
  <c r="AC9" i="1" s="1"/>
  <c r="AE9" i="1" s="1"/>
  <c r="AG9" i="1" s="1"/>
  <c r="AI9" i="1" s="1"/>
  <c r="AK9" i="1" s="1"/>
  <c r="AM9" i="1" s="1"/>
  <c r="AO9" i="1" s="1"/>
  <c r="AQ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6" authorId="0" shapeId="0" xr:uid="{B3E72FF1-5462-424F-B332-BAE8A706841A}">
      <text>
        <r>
          <rPr>
            <sz val="10"/>
            <color rgb="FF000000"/>
            <rFont val="Arial1"/>
            <family val="2"/>
          </rPr>
          <t>sprint goal</t>
        </r>
      </text>
    </comment>
    <comment ref="D10" authorId="0" shapeId="0" xr:uid="{375A4FC6-BA71-4B15-9F8A-F49710ED523B}">
      <text>
        <r>
          <rPr>
            <sz val="10"/>
            <color theme="1"/>
            <rFont val="Arial1"/>
          </rPr>
          <t>Estimation initiale</t>
        </r>
      </text>
    </comment>
    <comment ref="E10" authorId="0" shapeId="0" xr:uid="{CB6DCFBC-5279-4CB4-A333-9729B818ADA6}">
      <text>
        <r>
          <rPr>
            <sz val="10"/>
            <color rgb="FF000000"/>
            <rFont val="Arial1"/>
            <family val="2"/>
          </rPr>
          <t>Pour chaque jour, la première colonne indique le temps restant, et la deuxième colonne indique le temps travaillé sur cette tâche ce jour là. Normalement, la première colonne du jour J est égal à la différence entre la première colonne du jour J-1 (estimation en temps restant, en date du jour J-1) et de l'effort passé sur la tâche le jour J-1. Sauf si on s'est trompé d'estomation au jour J-1, auquel cas la première colonne du jour J est plus grande (on a sous-estimé) ou plus petite (on a surestimé) l'effort requis par la tâche</t>
        </r>
      </text>
    </comment>
    <comment ref="U10" authorId="0" shapeId="0" xr:uid="{40F612A5-139E-4FD6-82ED-F6A0C908DDE2}">
      <text>
        <r>
          <rPr>
            <sz val="10"/>
            <color rgb="FF000000"/>
            <rFont val="Arial1"/>
            <family val="2"/>
          </rPr>
          <t>Effort left went up after some new work has been discovered</t>
        </r>
      </text>
    </comment>
    <comment ref="B11" authorId="0" shapeId="0" xr:uid="{77F11DC5-34F1-4739-8AF1-AB75B98FB6E3}">
      <text>
        <r>
          <rPr>
            <sz val="10"/>
            <color rgb="FF000000"/>
            <rFont val="Arial1"/>
            <family val="2"/>
          </rPr>
          <t>Id of the story. To simplify linking to the product backlog</t>
        </r>
      </text>
    </comment>
    <comment ref="C11" authorId="0" shapeId="0" xr:uid="{8D385372-8BC7-4B3A-BF29-C20939B7A50F}">
      <text>
        <r>
          <rPr>
            <sz val="10"/>
            <color rgb="FF000000"/>
            <rFont val="Arial1"/>
            <family val="2"/>
          </rPr>
          <t>User story being implemented. See http://agilesoftwaredevelopment.com/scrum/simple-product-backlog</t>
        </r>
      </text>
    </comment>
    <comment ref="D14" authorId="0" shapeId="0" xr:uid="{0C2FC142-04E4-432F-9C61-559B17E2EEE2}">
      <text>
        <r>
          <rPr>
            <sz val="10"/>
            <color rgb="FF000000"/>
            <rFont val="Arial1"/>
            <family val="2"/>
          </rPr>
          <t>The team tries not have tasks bigger, than 16 ideal engineering hours. If they happen to have a bigger task, they try to split it into two smaller and more managable ones</t>
        </r>
      </text>
    </comment>
    <comment ref="E14" authorId="0" shapeId="0" xr:uid="{513D6787-89A2-4A19-952F-2186E49FA7BB}">
      <text>
        <r>
          <rPr>
            <sz val="10"/>
            <color rgb="FF000000"/>
            <rFont val="Arial1"/>
            <family val="2"/>
          </rPr>
          <t>The team tries not have tasks bigger, than 16 ideal engineering hours. If they happen to have a bigger task, they try to split it into two smaller and more managable ones</t>
        </r>
      </text>
    </comment>
    <comment ref="C46" authorId="0" shapeId="0" xr:uid="{FA25F2FA-3CF5-4610-B21A-A34F6ECBADE6}">
      <text>
        <r>
          <rPr>
            <sz val="10"/>
            <color rgb="FF000000"/>
            <rFont val="Arial1"/>
            <family val="2"/>
          </rPr>
          <t>See for reference and comments. Feel free to remove the link, though it would be very kind of you to leave it somewhere on the sheet</t>
        </r>
      </text>
    </comment>
  </commentList>
</comments>
</file>

<file path=xl/sharedStrings.xml><?xml version="1.0" encoding="utf-8"?>
<sst xmlns="http://schemas.openxmlformats.org/spreadsheetml/2006/main" count="20" uniqueCount="20">
  <si>
    <t>Jour</t>
  </si>
  <si>
    <t>Sprint Backlog&lt;Checkoint&gt;</t>
  </si>
  <si>
    <t>Sommaire effort restant</t>
  </si>
  <si>
    <t>Sommaire efforts dépensé</t>
  </si>
  <si>
    <t>Numéro cas d'utilisation</t>
  </si>
  <si>
    <t>jours du sprint / (effort restant estimé en début de journée | heures travaillées ce jour)</t>
  </si>
  <si>
    <t>Cas d'utilisation ou user-story/tâche</t>
  </si>
  <si>
    <t>Date: 20/11/2025</t>
  </si>
  <si>
    <t>Messagerie</t>
  </si>
  <si>
    <t>Envoyer un message</t>
  </si>
  <si>
    <t>Supprimer un message</t>
  </si>
  <si>
    <t>Modifier un message</t>
  </si>
  <si>
    <t>Créer un groupe d'amis</t>
  </si>
  <si>
    <t>Gestion des Amis</t>
  </si>
  <si>
    <t>Ajouter en amis proche</t>
  </si>
  <si>
    <t>ajouter un amis dans le groupe</t>
  </si>
  <si>
    <t>supprimer un amis dans le groupe</t>
  </si>
  <si>
    <t>signaler un amis dans le groupe</t>
  </si>
  <si>
    <t>État du sprint backlog 3 &lt;Checkoint&gt;</t>
  </si>
  <si>
    <t xml:space="preserve">Sprint 3. implanter la messagerie (principalement)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</si>
</sst>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1009]#,##0.00;[Red]&quot;-&quot;[$$-1009]#,##0.00"/>
  </numFmts>
  <fonts count="14">
    <font>
      <sz val="11"/>
      <color theme="1"/>
      <name val="Arial1"/>
    </font>
    <font>
      <u/>
      <sz val="10"/>
      <color rgb="FF0000FF"/>
      <name val="Arial2"/>
      <family val="2"/>
    </font>
    <font>
      <b/>
      <i/>
      <sz val="16"/>
      <color theme="1"/>
      <name val="Arial1"/>
    </font>
    <font>
      <b/>
      <i/>
      <u/>
      <sz val="11"/>
      <color theme="1"/>
      <name val="Arial1"/>
    </font>
    <font>
      <b/>
      <sz val="11"/>
      <color theme="1"/>
      <name val="Arial1"/>
    </font>
    <font>
      <b/>
      <sz val="10"/>
      <color theme="1"/>
      <name val="Arial2"/>
    </font>
    <font>
      <sz val="10"/>
      <color theme="1"/>
      <name val="Arial1"/>
    </font>
    <font>
      <sz val="10"/>
      <color rgb="FF000000"/>
      <name val="Arial1"/>
      <family val="2"/>
    </font>
    <font>
      <sz val="10"/>
      <color theme="1"/>
      <name val="Arial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Arial1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CCFFFF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>
      <alignment horizontal="center"/>
    </xf>
    <xf numFmtId="0" fontId="2" fillId="0" borderId="0">
      <alignment horizontal="center" textRotation="90"/>
    </xf>
    <xf numFmtId="0" fontId="3" fillId="0" borderId="0"/>
    <xf numFmtId="164" fontId="3" fillId="0" borderId="0"/>
  </cellStyleXfs>
  <cellXfs count="52">
    <xf numFmtId="0" fontId="0" fillId="0" borderId="0" xfId="0"/>
    <xf numFmtId="0" fontId="4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/>
    <xf numFmtId="0" fontId="1" fillId="0" borderId="0" xfId="1"/>
    <xf numFmtId="0" fontId="0" fillId="0" borderId="4" xfId="0" applyBorder="1"/>
    <xf numFmtId="0" fontId="0" fillId="0" borderId="2" xfId="0" applyBorder="1"/>
    <xf numFmtId="0" fontId="5" fillId="0" borderId="5" xfId="0" applyFont="1" applyBorder="1" applyAlignment="1">
      <alignment horizontal="center"/>
    </xf>
    <xf numFmtId="0" fontId="0" fillId="0" borderId="0" xfId="0" applyAlignment="1">
      <alignment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2" borderId="1" xfId="0" applyFill="1" applyBorder="1"/>
    <xf numFmtId="0" fontId="0" fillId="2" borderId="13" xfId="0" applyFill="1" applyBorder="1"/>
    <xf numFmtId="0" fontId="0" fillId="2" borderId="11" xfId="0" applyFill="1" applyBorder="1"/>
    <xf numFmtId="0" fontId="0" fillId="0" borderId="5" xfId="0" applyBorder="1"/>
    <xf numFmtId="0" fontId="0" fillId="0" borderId="6" xfId="0" applyBorder="1"/>
    <xf numFmtId="0" fontId="8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0" fillId="0" borderId="14" xfId="0" applyBorder="1"/>
    <xf numFmtId="0" fontId="0" fillId="3" borderId="2" xfId="0" applyFill="1" applyBorder="1"/>
    <xf numFmtId="0" fontId="13" fillId="3" borderId="2" xfId="0" applyFont="1" applyFill="1" applyBorder="1" applyAlignment="1">
      <alignment wrapText="1"/>
    </xf>
    <xf numFmtId="0" fontId="0" fillId="0" borderId="1" xfId="0" applyBorder="1"/>
    <xf numFmtId="0" fontId="0" fillId="0" borderId="10" xfId="0" applyBorder="1"/>
    <xf numFmtId="0" fontId="0" fillId="0" borderId="7" xfId="0" applyBorder="1"/>
    <xf numFmtId="0" fontId="0" fillId="0" borderId="15" xfId="0" applyBorder="1"/>
    <xf numFmtId="0" fontId="0" fillId="0" borderId="8" xfId="0" applyBorder="1"/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0" fillId="0" borderId="11" xfId="0" applyBorder="1"/>
    <xf numFmtId="0" fontId="12" fillId="0" borderId="12" xfId="0" applyFont="1" applyBorder="1"/>
    <xf numFmtId="0" fontId="12" fillId="0" borderId="13" xfId="0" applyFont="1" applyBorder="1"/>
    <xf numFmtId="0" fontId="12" fillId="0" borderId="11" xfId="0" applyFont="1" applyBorder="1"/>
    <xf numFmtId="0" fontId="0" fillId="0" borderId="3" xfId="0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0" xfId="0" applyBorder="1" applyAlignment="1">
      <alignment wrapText="1"/>
    </xf>
    <xf numFmtId="0" fontId="0" fillId="3" borderId="14" xfId="0" applyFill="1" applyBorder="1"/>
    <xf numFmtId="0" fontId="0" fillId="3" borderId="5" xfId="0" applyFill="1" applyBorder="1"/>
    <xf numFmtId="0" fontId="0" fillId="3" borderId="6" xfId="0" applyFill="1" applyBorder="1"/>
    <xf numFmtId="0" fontId="5" fillId="2" borderId="1" xfId="0" applyFont="1" applyFill="1" applyBorder="1"/>
    <xf numFmtId="0" fontId="12" fillId="0" borderId="2" xfId="0" applyFont="1" applyBorder="1"/>
    <xf numFmtId="0" fontId="12" fillId="0" borderId="14" xfId="0" applyFont="1" applyBorder="1"/>
    <xf numFmtId="0" fontId="0" fillId="0" borderId="4" xfId="0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</cellXfs>
  <cellStyles count="6">
    <cellStyle name="Excel_BuiltIn_Hyperlink" xfId="1" xr:uid="{A5A2CFA1-235B-44F6-89D0-3F1CC22283EE}"/>
    <cellStyle name="Heading" xfId="2" xr:uid="{A013C2A2-D4C4-4B6C-B407-C9CAE5BADC41}"/>
    <cellStyle name="Heading1" xfId="3" xr:uid="{ED43B91A-BAC2-454C-ACE3-99EC0D452F27}"/>
    <cellStyle name="Normal" xfId="0" builtinId="0" customBuiltin="1"/>
    <cellStyle name="Result" xfId="4" xr:uid="{3435A10D-03C5-42EE-B00C-2F0BA29CBB78}"/>
    <cellStyle name="Result2" xfId="5" xr:uid="{8B913553-48B3-4A51-832D-996555C933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pPr>
              <a:defRPr sz="825" b="1">
                <a:solidFill>
                  <a:srgbClr val="000000"/>
                </a:solidFill>
                <a:cs typeface="Arial"/>
              </a:defRPr>
            </a:pPr>
            <a:r>
              <a:rPr lang="fr-FR"/>
              <a:t>Travail restant, par jour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600">
              <a:solidFill>
                <a:srgbClr val="000080"/>
              </a:solidFill>
            </a:ln>
          </c:spPr>
          <c:marker>
            <c:symbol val="diamond"/>
            <c:size val="5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>
                    <a:solidFill>
                      <a:srgbClr val="000000"/>
                    </a:solidFill>
                    <a:cs typeface="Arial"/>
                  </a:defRPr>
                </a:pPr>
                <a:endParaRPr lang="fr-FR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Sheet1!$D$1:$Y$1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Sheet1!$D$2:$Y$2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81-4738-BFCE-822A54B77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7899280"/>
        <c:axId val="1847898800"/>
      </c:lineChart>
      <c:valAx>
        <c:axId val="18478988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800" b="1">
                    <a:solidFill>
                      <a:srgbClr val="000000"/>
                    </a:solidFill>
                    <a:cs typeface="Arial"/>
                  </a:defRPr>
                </a:pPr>
                <a:r>
                  <a:rPr lang="fr-FR"/>
                  <a:t>effort restant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800" b="0">
                <a:solidFill>
                  <a:srgbClr val="000000"/>
                </a:solidFill>
                <a:cs typeface="Arial"/>
              </a:defRPr>
            </a:pPr>
            <a:endParaRPr lang="fr-FR"/>
          </a:p>
        </c:txPr>
        <c:crossAx val="1847899280"/>
        <c:crossesAt val="1"/>
        <c:crossBetween val="between"/>
      </c:valAx>
      <c:catAx>
        <c:axId val="1847899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>
                    <a:solidFill>
                      <a:srgbClr val="000000"/>
                    </a:solidFill>
                    <a:cs typeface="Arial"/>
                  </a:defRPr>
                </a:pPr>
                <a:r>
                  <a:rPr lang="fr-FR"/>
                  <a:t>jours du sprint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800" b="0">
                <a:solidFill>
                  <a:srgbClr val="000000"/>
                </a:solidFill>
                <a:cs typeface="Arial"/>
              </a:defRPr>
            </a:pPr>
            <a:endParaRPr lang="fr-FR"/>
          </a:p>
        </c:txPr>
        <c:crossAx val="1847898800"/>
        <c:crossesAt val="0"/>
        <c:auto val="1"/>
        <c:lblAlgn val="ctr"/>
        <c:lblOffset val="100"/>
        <c:noMultiLvlLbl val="0"/>
      </c:catAx>
      <c:spPr>
        <a:solidFill>
          <a:srgbClr val="C0C0C0"/>
        </a:solidFill>
        <a:ln w="126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pPr>
              <a:defRPr sz="1300" b="0"/>
            </a:pPr>
            <a:r>
              <a:rPr lang="fr-FR"/>
              <a:t>Travail effectué (en heures), par jour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680">
              <a:solidFill>
                <a:srgbClr val="004586"/>
              </a:solidFill>
            </a:ln>
          </c:spPr>
          <c:marker>
            <c:symbol val="square"/>
            <c:size val="7"/>
          </c:marker>
          <c:cat>
            <c:numRef>
              <c:f>Sheet1!$D$1:$Y$1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Sheet1!$D$3:$Y$3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30-4A89-947F-715EBFEF8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600000"/>
        <c:axId val="2096589920"/>
      </c:lineChart>
      <c:valAx>
        <c:axId val="2096589920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/>
                </a:pPr>
                <a:r>
                  <a:rPr lang="fr-FR"/>
                  <a:t>Heures travaillées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800" b="0"/>
            </a:pPr>
            <a:endParaRPr lang="fr-FR"/>
          </a:p>
        </c:txPr>
        <c:crossAx val="2096600000"/>
        <c:crossesAt val="0"/>
        <c:crossBetween val="between"/>
      </c:valAx>
      <c:catAx>
        <c:axId val="2096600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fr-FR"/>
                  <a:t>jours du sprint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800" b="0"/>
            </a:pPr>
            <a:endParaRPr lang="fr-FR"/>
          </a:p>
        </c:txPr>
        <c:crossAx val="2096589920"/>
        <c:crossesAt val="0"/>
        <c:auto val="1"/>
        <c:lblAlgn val="ctr"/>
        <c:lblOffset val="100"/>
        <c:noMultiLvlLbl val="0"/>
      </c:catAx>
      <c:spPr>
        <a:solidFill>
          <a:srgbClr val="C0C0C0"/>
        </a:solidFill>
        <a:ln>
          <a:solidFill>
            <a:srgbClr val="000000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800" b="0"/>
          </a:pPr>
          <a:endParaRPr lang="fr-FR"/>
        </a:p>
      </c:txPr>
    </c:legend>
    <c:plotVisOnly val="1"/>
    <c:dispBlanksAs val="gap"/>
    <c:showDLblsOverMax val="0"/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621720</xdr:colOff>
      <xdr:row>48</xdr:row>
      <xdr:rowOff>101159</xdr:rowOff>
    </xdr:from>
    <xdr:ext cx="4964760" cy="272592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78915722-CAC5-C8E3-C3A5-7B59BD4A11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4533480</xdr:colOff>
      <xdr:row>48</xdr:row>
      <xdr:rowOff>111960</xdr:rowOff>
    </xdr:from>
    <xdr:ext cx="4774680" cy="2845080"/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9FFC8AA1-6688-9B76-A21E-6419F0DD57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1DC3A-E8ED-493D-9F57-5C297D9CEAA4}">
  <dimension ref="A1:AU46"/>
  <sheetViews>
    <sheetView tabSelected="1" workbookViewId="0">
      <selection activeCell="D26" sqref="D26"/>
    </sheetView>
  </sheetViews>
  <sheetFormatPr baseColWidth="10" defaultColWidth="11" defaultRowHeight="14.25"/>
  <cols>
    <col min="1" max="1" width="8.375" customWidth="1"/>
    <col min="2" max="2" width="11.625" customWidth="1"/>
    <col min="3" max="3" width="60.25" customWidth="1"/>
    <col min="4" max="4" width="4.375" customWidth="1"/>
    <col min="5" max="10" width="3.375" customWidth="1"/>
    <col min="11" max="11" width="4.5" customWidth="1"/>
    <col min="12" max="46" width="3.375" customWidth="1"/>
    <col min="47" max="47" width="4.75" customWidth="1"/>
    <col min="48" max="1024" width="8.375" customWidth="1"/>
  </cols>
  <sheetData>
    <row r="1" spans="1:47" ht="15">
      <c r="C1" s="1" t="s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</row>
    <row r="2" spans="1:47" ht="15">
      <c r="A2" s="11" t="s">
        <v>1</v>
      </c>
      <c r="B2" s="12"/>
      <c r="C2" s="1" t="s">
        <v>2</v>
      </c>
      <c r="D2">
        <f>E10</f>
        <v>0</v>
      </c>
      <c r="E2">
        <f>G10</f>
        <v>0</v>
      </c>
      <c r="F2">
        <f>I10</f>
        <v>0</v>
      </c>
      <c r="G2">
        <f>K10</f>
        <v>0</v>
      </c>
      <c r="H2">
        <f>M10</f>
        <v>0</v>
      </c>
      <c r="I2">
        <f>O10</f>
        <v>0</v>
      </c>
      <c r="J2">
        <f>Q10</f>
        <v>0</v>
      </c>
      <c r="K2">
        <f>S10</f>
        <v>0</v>
      </c>
      <c r="L2">
        <f>U10</f>
        <v>0</v>
      </c>
      <c r="M2">
        <f>W10</f>
        <v>0</v>
      </c>
      <c r="N2">
        <f>Y10</f>
        <v>0</v>
      </c>
      <c r="O2">
        <f>AA10</f>
        <v>0</v>
      </c>
      <c r="P2">
        <f>AC10</f>
        <v>0</v>
      </c>
      <c r="Q2">
        <f>AE10</f>
        <v>0</v>
      </c>
      <c r="R2">
        <f>AG10</f>
        <v>0</v>
      </c>
      <c r="S2">
        <f>AI10</f>
        <v>0</v>
      </c>
      <c r="T2">
        <f>AK10</f>
        <v>0</v>
      </c>
      <c r="U2">
        <f>AM10</f>
        <v>0</v>
      </c>
      <c r="V2">
        <f>AO10</f>
        <v>0</v>
      </c>
      <c r="W2">
        <f>AQ10</f>
        <v>0</v>
      </c>
      <c r="X2">
        <f>AS10</f>
        <v>0</v>
      </c>
    </row>
    <row r="3" spans="1:47" ht="15">
      <c r="A3" s="10" t="s">
        <v>7</v>
      </c>
      <c r="B3" s="12"/>
      <c r="C3" s="1" t="s">
        <v>3</v>
      </c>
      <c r="D3">
        <f>F10</f>
        <v>0</v>
      </c>
      <c r="E3">
        <f>H10</f>
        <v>0</v>
      </c>
      <c r="F3">
        <f>J10</f>
        <v>0</v>
      </c>
      <c r="G3">
        <f>L10</f>
        <v>0</v>
      </c>
      <c r="H3">
        <f>N10</f>
        <v>0</v>
      </c>
      <c r="I3">
        <f>P10</f>
        <v>0</v>
      </c>
      <c r="J3">
        <f>R10</f>
        <v>0</v>
      </c>
      <c r="K3">
        <f>T10</f>
        <v>0</v>
      </c>
      <c r="L3">
        <f>V10</f>
        <v>0</v>
      </c>
      <c r="M3">
        <f>X10</f>
        <v>0</v>
      </c>
      <c r="N3">
        <f>Z10</f>
        <v>0</v>
      </c>
      <c r="O3">
        <f>AB10</f>
        <v>0</v>
      </c>
      <c r="P3">
        <f>AD10</f>
        <v>0</v>
      </c>
      <c r="Q3">
        <f>AF10</f>
        <v>0</v>
      </c>
      <c r="R3">
        <f>AH10</f>
        <v>0</v>
      </c>
      <c r="S3">
        <f>AJ10</f>
        <v>0</v>
      </c>
      <c r="T3">
        <f>AL10</f>
        <v>0</v>
      </c>
      <c r="U3">
        <f>AN10</f>
        <v>0</v>
      </c>
      <c r="V3">
        <f>AP10</f>
        <v>0</v>
      </c>
      <c r="W3">
        <f>AR10</f>
        <v>0</v>
      </c>
      <c r="X3">
        <f>AT10</f>
        <v>0</v>
      </c>
    </row>
    <row r="4" spans="1:47" ht="15">
      <c r="C4" s="1"/>
    </row>
    <row r="5" spans="1:47">
      <c r="C5" s="2"/>
    </row>
    <row r="6" spans="1:47">
      <c r="C6" s="2" t="s">
        <v>19</v>
      </c>
    </row>
    <row r="8" spans="1:47">
      <c r="B8" s="48" t="s">
        <v>4</v>
      </c>
      <c r="C8" s="8"/>
      <c r="D8" s="51" t="s">
        <v>5</v>
      </c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</row>
    <row r="9" spans="1:47">
      <c r="B9" s="49"/>
      <c r="C9" s="2" t="s">
        <v>6</v>
      </c>
      <c r="D9" s="6">
        <v>0</v>
      </c>
      <c r="E9" s="47">
        <f>D9+1</f>
        <v>1</v>
      </c>
      <c r="F9" s="47"/>
      <c r="G9" s="47">
        <f>E9+1</f>
        <v>2</v>
      </c>
      <c r="H9" s="47"/>
      <c r="I9" s="47">
        <f>G9+1</f>
        <v>3</v>
      </c>
      <c r="J9" s="47"/>
      <c r="K9" s="47">
        <f>I9+1</f>
        <v>4</v>
      </c>
      <c r="L9" s="47"/>
      <c r="M9" s="47">
        <f>K9+1</f>
        <v>5</v>
      </c>
      <c r="N9" s="47"/>
      <c r="O9" s="47">
        <f>M9+1</f>
        <v>6</v>
      </c>
      <c r="P9" s="47"/>
      <c r="Q9" s="47">
        <f>O9+1</f>
        <v>7</v>
      </c>
      <c r="R9" s="47"/>
      <c r="S9" s="47">
        <f>Q9+1</f>
        <v>8</v>
      </c>
      <c r="T9" s="47"/>
      <c r="U9" s="47">
        <f>S9+1</f>
        <v>9</v>
      </c>
      <c r="V9" s="47"/>
      <c r="W9" s="47">
        <f>U9+1</f>
        <v>10</v>
      </c>
      <c r="X9" s="47"/>
      <c r="Y9" s="47">
        <f>W9+1</f>
        <v>11</v>
      </c>
      <c r="Z9" s="47"/>
      <c r="AA9" s="47">
        <f>Y9+1</f>
        <v>12</v>
      </c>
      <c r="AB9" s="47"/>
      <c r="AC9" s="47">
        <f>AA9+1</f>
        <v>13</v>
      </c>
      <c r="AD9" s="47"/>
      <c r="AE9" s="47">
        <f>AC9+1</f>
        <v>14</v>
      </c>
      <c r="AF9" s="47"/>
      <c r="AG9" s="47">
        <f>AE9+1</f>
        <v>15</v>
      </c>
      <c r="AH9" s="47"/>
      <c r="AI9" s="47">
        <f>AG9+1</f>
        <v>16</v>
      </c>
      <c r="AJ9" s="47"/>
      <c r="AK9" s="47">
        <f>AI9+1</f>
        <v>17</v>
      </c>
      <c r="AL9" s="47"/>
      <c r="AM9" s="47">
        <f>AK9+1</f>
        <v>18</v>
      </c>
      <c r="AN9" s="47"/>
      <c r="AO9" s="47">
        <f>AM9+1</f>
        <v>19</v>
      </c>
      <c r="AP9" s="47"/>
      <c r="AQ9" s="47">
        <f>AO9+1</f>
        <v>20</v>
      </c>
      <c r="AR9" s="47"/>
      <c r="AS9" s="47">
        <v>21</v>
      </c>
      <c r="AT9" s="47"/>
      <c r="AU9" s="3"/>
    </row>
    <row r="10" spans="1:47">
      <c r="B10" s="50"/>
      <c r="D10" s="7">
        <f>SUM(D11:D200)</f>
        <v>48</v>
      </c>
      <c r="E10" s="7">
        <f t="shared" ref="E10:AT10" si="0">SUM(E11:E200)</f>
        <v>0</v>
      </c>
      <c r="F10" s="7">
        <f t="shared" si="0"/>
        <v>0</v>
      </c>
      <c r="G10" s="7">
        <f t="shared" si="0"/>
        <v>0</v>
      </c>
      <c r="H10" s="7">
        <f t="shared" si="0"/>
        <v>0</v>
      </c>
      <c r="I10" s="7">
        <f t="shared" si="0"/>
        <v>0</v>
      </c>
      <c r="J10" s="7">
        <f t="shared" si="0"/>
        <v>0</v>
      </c>
      <c r="K10" s="7">
        <f t="shared" si="0"/>
        <v>0</v>
      </c>
      <c r="L10" s="7">
        <f t="shared" si="0"/>
        <v>0</v>
      </c>
      <c r="M10" s="7">
        <f t="shared" si="0"/>
        <v>0</v>
      </c>
      <c r="N10" s="7">
        <f t="shared" si="0"/>
        <v>0</v>
      </c>
      <c r="O10" s="7">
        <f t="shared" si="0"/>
        <v>0</v>
      </c>
      <c r="P10" s="7">
        <f t="shared" si="0"/>
        <v>0</v>
      </c>
      <c r="Q10" s="7">
        <f t="shared" si="0"/>
        <v>0</v>
      </c>
      <c r="R10" s="7">
        <f t="shared" si="0"/>
        <v>0</v>
      </c>
      <c r="S10" s="7">
        <f t="shared" si="0"/>
        <v>0</v>
      </c>
      <c r="T10" s="7">
        <f t="shared" si="0"/>
        <v>0</v>
      </c>
      <c r="U10" s="7">
        <f t="shared" si="0"/>
        <v>0</v>
      </c>
      <c r="V10" s="7">
        <f t="shared" si="0"/>
        <v>0</v>
      </c>
      <c r="W10" s="7">
        <f t="shared" si="0"/>
        <v>0</v>
      </c>
      <c r="X10" s="7">
        <f t="shared" si="0"/>
        <v>0</v>
      </c>
      <c r="Y10" s="7">
        <f t="shared" si="0"/>
        <v>0</v>
      </c>
      <c r="Z10" s="7">
        <f t="shared" si="0"/>
        <v>0</v>
      </c>
      <c r="AA10" s="7">
        <f t="shared" si="0"/>
        <v>0</v>
      </c>
      <c r="AB10" s="7">
        <f t="shared" si="0"/>
        <v>0</v>
      </c>
      <c r="AC10" s="7">
        <f t="shared" si="0"/>
        <v>0</v>
      </c>
      <c r="AD10" s="7">
        <f t="shared" si="0"/>
        <v>0</v>
      </c>
      <c r="AE10" s="7">
        <f t="shared" si="0"/>
        <v>0</v>
      </c>
      <c r="AF10" s="7">
        <f t="shared" si="0"/>
        <v>0</v>
      </c>
      <c r="AG10" s="7">
        <f t="shared" si="0"/>
        <v>0</v>
      </c>
      <c r="AH10" s="7">
        <f t="shared" si="0"/>
        <v>0</v>
      </c>
      <c r="AI10" s="7">
        <f t="shared" si="0"/>
        <v>0</v>
      </c>
      <c r="AJ10" s="7">
        <f t="shared" si="0"/>
        <v>0</v>
      </c>
      <c r="AK10" s="7">
        <f t="shared" si="0"/>
        <v>0</v>
      </c>
      <c r="AL10" s="7">
        <f t="shared" si="0"/>
        <v>0</v>
      </c>
      <c r="AM10" s="7">
        <f t="shared" si="0"/>
        <v>0</v>
      </c>
      <c r="AN10" s="7">
        <f t="shared" si="0"/>
        <v>0</v>
      </c>
      <c r="AO10" s="7">
        <f t="shared" si="0"/>
        <v>0</v>
      </c>
      <c r="AP10" s="7">
        <f t="shared" si="0"/>
        <v>0</v>
      </c>
      <c r="AQ10" s="7">
        <f t="shared" si="0"/>
        <v>0</v>
      </c>
      <c r="AR10" s="7">
        <f t="shared" si="0"/>
        <v>0</v>
      </c>
      <c r="AS10" s="7">
        <f t="shared" si="0"/>
        <v>0</v>
      </c>
      <c r="AT10" s="7">
        <f t="shared" si="0"/>
        <v>0</v>
      </c>
    </row>
    <row r="11" spans="1:47">
      <c r="B11" s="21">
        <v>16</v>
      </c>
      <c r="C11" s="22" t="s">
        <v>8</v>
      </c>
      <c r="D11" s="41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3"/>
    </row>
    <row r="12" spans="1:47">
      <c r="B12" s="20"/>
      <c r="C12" s="39" t="s">
        <v>9</v>
      </c>
      <c r="D12" s="20">
        <v>10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7"/>
    </row>
    <row r="13" spans="1:47">
      <c r="B13" s="24"/>
      <c r="C13" s="40" t="s">
        <v>10</v>
      </c>
      <c r="D13" s="24">
        <v>7</v>
      </c>
      <c r="AT13" s="25"/>
    </row>
    <row r="14" spans="1:47">
      <c r="B14" s="24"/>
      <c r="C14" s="40" t="s">
        <v>11</v>
      </c>
      <c r="D14" s="24">
        <v>8</v>
      </c>
      <c r="AT14" s="25"/>
    </row>
    <row r="15" spans="1:47">
      <c r="B15" s="46"/>
      <c r="C15" s="39" t="s">
        <v>12</v>
      </c>
      <c r="D15" s="32">
        <v>5</v>
      </c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4"/>
    </row>
    <row r="16" spans="1:47">
      <c r="B16" s="45"/>
      <c r="C16" s="36" t="s">
        <v>15</v>
      </c>
      <c r="D16" s="24">
        <v>5</v>
      </c>
      <c r="AT16" s="25"/>
    </row>
    <row r="17" spans="2:46">
      <c r="B17" s="35"/>
      <c r="C17" s="37" t="s">
        <v>16</v>
      </c>
      <c r="D17" s="24">
        <v>3</v>
      </c>
      <c r="AT17" s="25"/>
    </row>
    <row r="18" spans="2:46">
      <c r="B18" s="6"/>
      <c r="C18" s="38" t="s">
        <v>17</v>
      </c>
      <c r="D18" s="26">
        <v>5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8"/>
    </row>
    <row r="19" spans="2:46">
      <c r="B19" s="13">
        <v>7</v>
      </c>
      <c r="C19" s="44" t="s">
        <v>13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5"/>
    </row>
    <row r="20" spans="2:46">
      <c r="B20" s="29"/>
      <c r="C20" s="23" t="s">
        <v>14</v>
      </c>
      <c r="D20" s="30">
        <v>5</v>
      </c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1"/>
    </row>
    <row r="22" spans="2:46">
      <c r="C22" s="18"/>
    </row>
    <row r="23" spans="2:46">
      <c r="C23" s="19"/>
    </row>
    <row r="24" spans="2:46">
      <c r="C24" s="18"/>
    </row>
    <row r="25" spans="2:46">
      <c r="C25" s="18"/>
    </row>
    <row r="26" spans="2:46">
      <c r="C26" s="9"/>
    </row>
    <row r="27" spans="2:46">
      <c r="C27" s="9"/>
    </row>
    <row r="28" spans="2:46">
      <c r="C28" s="9"/>
    </row>
    <row r="29" spans="2:46">
      <c r="C29" s="9"/>
    </row>
    <row r="30" spans="2:46">
      <c r="C30" s="9"/>
    </row>
    <row r="31" spans="2:46">
      <c r="C31" s="9"/>
    </row>
    <row r="32" spans="2:46">
      <c r="C32" s="9"/>
    </row>
    <row r="33" spans="2:3">
      <c r="C33" s="9"/>
    </row>
    <row r="34" spans="2:3">
      <c r="C34" s="9"/>
    </row>
    <row r="35" spans="2:3">
      <c r="C35" s="9"/>
    </row>
    <row r="36" spans="2:3">
      <c r="C36" s="9"/>
    </row>
    <row r="37" spans="2:3">
      <c r="C37" s="9"/>
    </row>
    <row r="38" spans="2:3">
      <c r="C38" s="9"/>
    </row>
    <row r="39" spans="2:3">
      <c r="C39" s="9"/>
    </row>
    <row r="40" spans="2:3">
      <c r="C40" s="9"/>
    </row>
    <row r="44" spans="2:3">
      <c r="C44" s="4" t="s">
        <v>18</v>
      </c>
    </row>
    <row r="45" spans="2:3">
      <c r="C45" s="4"/>
    </row>
    <row r="46" spans="2:3">
      <c r="B46" s="4"/>
      <c r="C46" s="5"/>
    </row>
  </sheetData>
  <mergeCells count="23">
    <mergeCell ref="AS9:AT9"/>
    <mergeCell ref="AG9:AH9"/>
    <mergeCell ref="AI9:AJ9"/>
    <mergeCell ref="AK9:AL9"/>
    <mergeCell ref="AM9:AN9"/>
    <mergeCell ref="AO9:AP9"/>
    <mergeCell ref="AQ9:AR9"/>
    <mergeCell ref="AE9:AF9"/>
    <mergeCell ref="B8:B10"/>
    <mergeCell ref="D8:AT8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</mergeCells>
  <pageMargins left="0.74803149606299213" right="0.74803149606299213" top="1.2795275590551181" bottom="1.2795275590551181" header="0.98385826771653528" footer="0.98385826771653528"/>
  <pageSetup paperSize="0" fitToWidth="0" fitToHeight="0" pageOrder="overThenDown" orientation="landscape" horizontalDpi="0" verticalDpi="0" copies="0"/>
  <headerFooter alignWithMargins="0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FB633E2F73CC41963BA64B9EE42FB5" ma:contentTypeVersion="6" ma:contentTypeDescription="Crée un document." ma:contentTypeScope="" ma:versionID="63ee68930b2d36f99ee8529187086f58">
  <xsd:schema xmlns:xsd="http://www.w3.org/2001/XMLSchema" xmlns:xs="http://www.w3.org/2001/XMLSchema" xmlns:p="http://schemas.microsoft.com/office/2006/metadata/properties" xmlns:ns3="1a54f873-588e-4691-b0ab-f249bd01dad2" targetNamespace="http://schemas.microsoft.com/office/2006/metadata/properties" ma:root="true" ma:fieldsID="01cc379463691901ffb49bbc641794d9" ns3:_="">
    <xsd:import namespace="1a54f873-588e-4691-b0ab-f249bd01dad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54f873-588e-4691-b0ab-f249bd01da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a54f873-588e-4691-b0ab-f249bd01dad2" xsi:nil="true"/>
  </documentManagement>
</p:properties>
</file>

<file path=customXml/itemProps1.xml><?xml version="1.0" encoding="utf-8"?>
<ds:datastoreItem xmlns:ds="http://schemas.openxmlformats.org/officeDocument/2006/customXml" ds:itemID="{28255EE5-073D-44BD-9823-EBCC2031B2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54f873-588e-4691-b0ab-f249bd01da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8156A8-A0F8-4046-BF50-3FF745939A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7B7657-70F0-4FBE-A6D1-234684F5FB6B}">
  <ds:schemaRefs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1a54f873-588e-4691-b0ab-f249bd01dad2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Sheet1</vt:lpstr>
      <vt:lpstr>Sheet1!Zone_d_impression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Marchenko Artem</dc:creator>
  <cp:keywords/>
  <dc:description/>
  <cp:lastModifiedBy>Abdul Azis, Mouhamad Hashim</cp:lastModifiedBy>
  <cp:revision>9</cp:revision>
  <dcterms:created xsi:type="dcterms:W3CDTF">2007-09-27T13:30:44Z</dcterms:created>
  <dcterms:modified xsi:type="dcterms:W3CDTF">2025-11-19T22:49:00Z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0x01010092FB633E2F73CC41963BA64B9EE42FB5</vt:lpwstr>
  </property>
</Properties>
</file>